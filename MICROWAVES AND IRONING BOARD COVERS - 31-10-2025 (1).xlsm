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.leyland\Desktop\"/>
    </mc:Choice>
  </mc:AlternateContent>
  <xr:revisionPtr revIDLastSave="0" documentId="8_{4953BD51-CD89-4635-95BA-4B5C4403DE41}" xr6:coauthVersionLast="47" xr6:coauthVersionMax="47" xr10:uidLastSave="{00000000-0000-0000-0000-000000000000}"/>
  <bookViews>
    <workbookView xWindow="28680" yWindow="-120" windowWidth="29040" windowHeight="15720" xr2:uid="{AC7C870F-1C3F-4EB8-99E5-D1BB717186A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" l="1"/>
  <c r="E9" i="1"/>
  <c r="G7" i="1"/>
  <c r="E7" i="1"/>
  <c r="G6" i="1"/>
  <c r="E6" i="1"/>
  <c r="G5" i="1"/>
  <c r="E5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</future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</valueMetadata>
</metadata>
</file>

<file path=xl/sharedStrings.xml><?xml version="1.0" encoding="utf-8"?>
<sst xmlns="http://schemas.openxmlformats.org/spreadsheetml/2006/main" count="80" uniqueCount="69">
  <si>
    <t xml:space="preserve">Product Code </t>
  </si>
  <si>
    <t>Description</t>
  </si>
  <si>
    <t>Features</t>
  </si>
  <si>
    <t>Image 1</t>
  </si>
  <si>
    <t xml:space="preserve">Image 2 </t>
  </si>
  <si>
    <t xml:space="preserve">Quantity </t>
  </si>
  <si>
    <t xml:space="preserve">RRP </t>
  </si>
  <si>
    <t>Barcode</t>
  </si>
  <si>
    <t xml:space="preserve">Commodity Code </t>
  </si>
  <si>
    <t>Image 1 Link</t>
  </si>
  <si>
    <t>Image 2 Link</t>
  </si>
  <si>
    <t>Carton Quantity</t>
  </si>
  <si>
    <t>EK5932BLK</t>
  </si>
  <si>
    <t>SALTER TORONTO 20L DIG MICROWAVE - BLACK</t>
  </si>
  <si>
    <t/>
  </si>
  <si>
    <t>http://images.salsify.com/image/upload/s--MjeQEfsS--/w_500%2Ch_500%2Cc_limit%2Cq_auto:eco/2ca332559335b64956afcef0b5e2a367e36d3752.jpg</t>
  </si>
  <si>
    <t>http://images.salsify.com/image/upload/s--cYxt8jjH--/w_500%2Ch_500%2Cc_limit%2Cq_auto:eco/4ca62f7dbd0883c30c2d4883878f4caf1b26d0bd.jpg</t>
  </si>
  <si>
    <t>1</t>
  </si>
  <si>
    <t>5054061505375</t>
  </si>
  <si>
    <t>8516500000</t>
  </si>
  <si>
    <t>EK6443BGRY</t>
  </si>
  <si>
    <t>SALTER MARINO 20L MANUAL MICROWAVE</t>
  </si>
  <si>
    <t>http://images.salsify.com/image/upload/s--YqhjHpQz--/w_500%2Ch_500%2Cc_limit%2Cq_auto:eco/c8162803b85828343eceab8b4fd6eb637d2cf312.jpg</t>
  </si>
  <si>
    <t>http://images.salsify.com/image/upload/s--1ZaxSXbn--/w_500%2Ch_500%2Cc_limit%2Cq_auto:eco/871c68252c7828962447401f183f2785c88f52a0.jpg</t>
  </si>
  <si>
    <t>5054061592696</t>
  </si>
  <si>
    <t>EK6776SGE</t>
  </si>
  <si>
    <t>SALTER MALMO DIGITAL MICROWAVE - SAGE</t>
  </si>
  <si>
    <t>http://images.salsify.com/image/upload/s--CLfj0kp_--/w_500%2Ch_500%2Cc_limit%2Cq_auto:eco/gpkrigvjynye7kix4w9m.jpg</t>
  </si>
  <si>
    <t>http://images.salsify.com/image/upload/s--48Nwv32S--/w_500%2Ch_500%2Cc_limit%2Cq_auto:eco/xadpm2gxpkpceqwaxwma.jpg</t>
  </si>
  <si>
    <t>5054061633351</t>
  </si>
  <si>
    <t>LA033491CDUPBMFOB</t>
  </si>
  <si>
    <t>UNIVERSAL 110-126CM BOARD COVER - CDU</t>
  </si>
  <si>
    <t>6</t>
  </si>
  <si>
    <t>1000040278147</t>
  </si>
  <si>
    <t>6307909899</t>
  </si>
  <si>
    <t>LA033491FEU7</t>
  </si>
  <si>
    <t>UNIVERSAL110-126CM BOARD COVER</t>
  </si>
  <si>
    <t>http://images.salsify.com/image/upload/s--6uR_-wYn--/w_500%2Ch_500%2Cc_limit%2Cq_auto:eco/119502b369a3b28456da050dd24b48e5193338ed.jpg</t>
  </si>
  <si>
    <t>http://images.salsify.com/image/upload/s--EXFDlQjI--/w_500%2Ch_500%2Cc_limit%2Cq_auto:eco/63f7f083c33b0d841ed39e6a74f4e51133e61c33.jpg</t>
  </si>
  <si>
    <t>12</t>
  </si>
  <si>
    <t>5054061535839</t>
  </si>
  <si>
    <t>£19.99</t>
  </si>
  <si>
    <t xml:space="preserve">800W POWER
20L CAPACITY
DIGITAL LED DISPLAY
5 POWER LEVELS
95 MINUTE TIMER
25.5CM GLASS TURNTABLE
8 AUTO COOKING FUNCTIONS
</t>
  </si>
  <si>
    <t>226 Pieces Available Now
 390 Pieces Due 14/11/2025</t>
  </si>
  <si>
    <t xml:space="preserve">800W POWER
20L CAPACITY
MANUAL DIAL CONTROL
5 POWER LEVELS
35 MINUTE TIMER
25.5CM GLASS TURNTABLE
</t>
  </si>
  <si>
    <t xml:space="preserve">1453 Pieces Available Now
</t>
  </si>
  <si>
    <t xml:space="preserve">800W POWER
20L CAPACITY
DIGITAL CONTROL
DEFROST FEATURE
60 MINUTE TIMER
27CM GLASS TURNTABLE
</t>
  </si>
  <si>
    <t>545 Pieces Due 19/03/2026</t>
  </si>
  <si>
    <t xml:space="preserve">BELDRAY UNIVERSAL IRONING BOARD COVER
FITS SIZE BOARD: 110 X 33 - 126 X 45CM
THICK FELT UNDERLAY FOR A SMOOTH PRESS
PRINTED DESIGN
HEAT REFLECTIVE COATING
ELASTICATED FIT WITH TOGGLE FASTENING FOR EASY ADJUSTING
SECURELY FITS MOST IRONING BOARDS
</t>
  </si>
  <si>
    <t xml:space="preserve">1514 Pieces Available Now
</t>
  </si>
  <si>
    <t>Colour Box Dimensions</t>
  </si>
  <si>
    <t>Shipping Carton</t>
  </si>
  <si>
    <t>Container Qty's</t>
  </si>
  <si>
    <t>L (cm)</t>
  </si>
  <si>
    <t>W (cm)</t>
  </si>
  <si>
    <t>H (cm)</t>
  </si>
  <si>
    <t>Qty</t>
  </si>
  <si>
    <t>CBM</t>
  </si>
  <si>
    <t>Gross Weight</t>
  </si>
  <si>
    <t>Net Weight</t>
  </si>
  <si>
    <t>MOQ</t>
  </si>
  <si>
    <t>20ft</t>
  </si>
  <si>
    <t>40ft</t>
  </si>
  <si>
    <t>40HQ</t>
  </si>
  <si>
    <t>Product: 25.9 x 44 x 33.5</t>
  </si>
  <si>
    <t>Product Dimensions (HxLxW) (cm)</t>
  </si>
  <si>
    <t>Product: 25.9 x 44 x 35.9</t>
  </si>
  <si>
    <t>Product: 25.8 x 45.1 x 31.3</t>
  </si>
  <si>
    <t>Product: 25 x 21 x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</si>
</sst>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£&quot;#,##0.00;[Red]\-&quot;£&quot;#,##0.00"/>
  </numFmts>
  <fonts count="4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theme="1"/>
      <name val="Calibri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BE2D5"/>
        <bgColor rgb="FFFBE2D5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0" xfId="0" applyNumberFormat="1" applyAlignment="1">
      <alignment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wrapText="1"/>
    </xf>
    <xf numFmtId="8" fontId="0" fillId="0" borderId="0" xfId="0" applyNumberFormat="1"/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2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0/07/relationships/rdRichValueWebImage" Target="richData/rdRichValueWebImage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179913</xdr:colOff>
      <xdr:row>1</xdr:row>
      <xdr:rowOff>1</xdr:rowOff>
    </xdr:from>
    <xdr:to>
      <xdr:col>15</xdr:col>
      <xdr:colOff>126996</xdr:colOff>
      <xdr:row>2</xdr:row>
      <xdr:rowOff>5629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39D0AA-6CEF-916D-E391-50B7D552A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4496" y="190501"/>
          <a:ext cx="16668750" cy="1751878"/>
        </a:xfrm>
        <a:prstGeom prst="rect">
          <a:avLst/>
        </a:prstGeom>
      </xdr:spPr>
    </xdr:pic>
    <xdr:clientData/>
  </xdr:twoCellAnchor>
  <xdr:twoCellAnchor editAs="oneCell">
    <xdr:from>
      <xdr:col>4</xdr:col>
      <xdr:colOff>63501</xdr:colOff>
      <xdr:row>7</xdr:row>
      <xdr:rowOff>370416</xdr:rowOff>
    </xdr:from>
    <xdr:to>
      <xdr:col>4</xdr:col>
      <xdr:colOff>1177992</xdr:colOff>
      <xdr:row>7</xdr:row>
      <xdr:rowOff>1735667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E08E36-8E9B-B00E-C299-190C20092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12418" y="7069666"/>
          <a:ext cx="1114491" cy="1365251"/>
        </a:xfrm>
        <a:prstGeom prst="rect">
          <a:avLst/>
        </a:prstGeom>
      </xdr:spPr>
    </xdr:pic>
    <xdr:clientData/>
  </xdr:twoCellAnchor>
  <xdr:twoCellAnchor editAs="oneCell">
    <xdr:from>
      <xdr:col>6</xdr:col>
      <xdr:colOff>84666</xdr:colOff>
      <xdr:row>7</xdr:row>
      <xdr:rowOff>518585</xdr:rowOff>
    </xdr:from>
    <xdr:to>
      <xdr:col>6</xdr:col>
      <xdr:colOff>1294673</xdr:colOff>
      <xdr:row>7</xdr:row>
      <xdr:rowOff>1735667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93F409-8398-D677-1E8B-450E68DE4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88249" y="7217835"/>
          <a:ext cx="1210007" cy="1217082"/>
        </a:xfrm>
        <a:prstGeom prst="rect">
          <a:avLst/>
        </a:prstGeom>
      </xdr:spPr>
    </xdr:pic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g"/><Relationship Id="rId13" Type="http://schemas.openxmlformats.org/officeDocument/2006/relationships/hyperlink" Target="https://images.salsify.com/image/upload/s--6uR_-wYn--/w_500%2Ch_500%2Cc_limit%2Cq_auto:eco/119502b369a3b28456da050dd24b48e5193338ed.jpg" TargetMode="External"/><Relationship Id="rId3" Type="http://schemas.openxmlformats.org/officeDocument/2006/relationships/hyperlink" Target="https://images.salsify.com/image/upload/s--cYxt8jjH--/w_500%2Ch_500%2Cc_limit%2Cq_auto:eco/4ca62f7dbd0883c30c2d4883878f4caf1b26d0bd.jpg" TargetMode="External"/><Relationship Id="rId7" Type="http://schemas.openxmlformats.org/officeDocument/2006/relationships/hyperlink" Target="https://images.salsify.com/image/upload/s--1ZaxSXbn--/w_500%2Ch_500%2Cc_limit%2Cq_auto:eco/871c68252c7828962447401f183f2785c88f52a0.jpg" TargetMode="External"/><Relationship Id="rId12" Type="http://schemas.openxmlformats.org/officeDocument/2006/relationships/image" Target="../media/image6.jpg"/><Relationship Id="rId2" Type="http://schemas.openxmlformats.org/officeDocument/2006/relationships/image" Target="../media/image1.jpg"/><Relationship Id="rId16" Type="http://schemas.openxmlformats.org/officeDocument/2006/relationships/image" Target="../media/image8.jpg"/><Relationship Id="rId1" Type="http://schemas.openxmlformats.org/officeDocument/2006/relationships/hyperlink" Target="https://images.salsify.com/image/upload/s--MjeQEfsS--/w_500%2Ch_500%2Cc_limit%2Cq_auto:eco/2ca332559335b64956afcef0b5e2a367e36d3752.jpg" TargetMode="External"/><Relationship Id="rId6" Type="http://schemas.openxmlformats.org/officeDocument/2006/relationships/image" Target="../media/image3.jpg"/><Relationship Id="rId11" Type="http://schemas.openxmlformats.org/officeDocument/2006/relationships/hyperlink" Target="https://images.salsify.com/image/upload/s--48Nwv32S--/w_500%2Ch_500%2Cc_limit%2Cq_auto:eco/xadpm2gxpkpceqwaxwma.jpg" TargetMode="External"/><Relationship Id="rId5" Type="http://schemas.openxmlformats.org/officeDocument/2006/relationships/hyperlink" Target="https://images.salsify.com/image/upload/s--YqhjHpQz--/w_500%2Ch_500%2Cc_limit%2Cq_auto:eco/c8162803b85828343eceab8b4fd6eb637d2cf312.jpg" TargetMode="External"/><Relationship Id="rId15" Type="http://schemas.openxmlformats.org/officeDocument/2006/relationships/hyperlink" Target="https://images.salsify.com/image/upload/s--EXFDlQjI--/w_500%2Ch_500%2Cc_limit%2Cq_auto:eco/63f7f083c33b0d841ed39e6a74f4e51133e61c33.jpg" TargetMode="External"/><Relationship Id="rId10" Type="http://schemas.openxmlformats.org/officeDocument/2006/relationships/image" Target="../media/image5.jpg"/><Relationship Id="rId4" Type="http://schemas.openxmlformats.org/officeDocument/2006/relationships/image" Target="../media/image2.jpg"/><Relationship Id="rId9" Type="http://schemas.openxmlformats.org/officeDocument/2006/relationships/hyperlink" Target="https://images.salsify.com/image/upload/s--CLfj0kp_--/w_500%2Ch_500%2Cc_limit%2Cq_auto:eco/gpkrigvjynye7kix4w9m.jpg" TargetMode="External"/><Relationship Id="rId14" Type="http://schemas.openxmlformats.org/officeDocument/2006/relationships/image" Target="../media/image7.jp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</webImagesSrd>
</file>

<file path=xl/richData/rdrichvalue.xml><?xml version="1.0" encoding="utf-8"?>
<rvData xmlns="http://schemas.microsoft.com/office/spreadsheetml/2017/richdata" count="8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37DDF-B7B6-4E3E-BFDB-4FC26F14FFD2}">
  <sheetPr codeName="Sheet1"/>
  <dimension ref="B1:AB9"/>
  <sheetViews>
    <sheetView tabSelected="1" topLeftCell="B1" zoomScale="90" zoomScaleNormal="90" workbookViewId="0">
      <selection activeCell="D5" sqref="D5"/>
    </sheetView>
  </sheetViews>
  <sheetFormatPr defaultRowHeight="15" x14ac:dyDescent="0.25"/>
  <cols>
    <col min="1" max="1" width="4" customWidth="1"/>
    <col min="2" max="2" width="23.85546875" style="4" customWidth="1"/>
    <col min="3" max="3" width="24.7109375" style="3" customWidth="1"/>
    <col min="4" max="4" width="39.7109375" style="3" customWidth="1"/>
    <col min="5" max="5" width="20.28515625" style="7" customWidth="1"/>
    <col min="6" max="6" width="31" style="4" hidden="1" customWidth="1"/>
    <col min="7" max="7" width="20.28515625" style="7" customWidth="1"/>
    <col min="8" max="8" width="34" style="4" hidden="1" customWidth="1"/>
    <col min="9" max="9" width="24.7109375" style="10" customWidth="1"/>
    <col min="10" max="10" width="9" style="4" customWidth="1"/>
    <col min="11" max="11" width="14.7109375" style="4" customWidth="1"/>
    <col min="12" max="13" width="15.7109375" style="4" customWidth="1"/>
    <col min="14" max="14" width="32.7109375" style="3" bestFit="1" customWidth="1"/>
  </cols>
  <sheetData>
    <row r="1" spans="2:28" x14ac:dyDescent="0.25">
      <c r="B1"/>
      <c r="C1" s="1"/>
      <c r="D1" s="1"/>
      <c r="E1" s="6"/>
      <c r="F1"/>
      <c r="G1" s="6"/>
      <c r="H1"/>
      <c r="I1" s="8"/>
      <c r="J1"/>
      <c r="K1"/>
      <c r="L1"/>
      <c r="M1"/>
      <c r="N1" s="1"/>
    </row>
    <row r="2" spans="2:28" ht="137.25" customHeight="1" x14ac:dyDescent="0.25"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</row>
    <row r="3" spans="2:28" ht="15" customHeight="1" x14ac:dyDescent="0.25">
      <c r="B3"/>
      <c r="C3" s="1"/>
      <c r="D3" s="1"/>
      <c r="E3" s="6"/>
      <c r="F3"/>
      <c r="G3" s="6"/>
      <c r="H3"/>
      <c r="I3" s="8"/>
      <c r="J3"/>
      <c r="K3"/>
      <c r="L3"/>
      <c r="M3"/>
      <c r="N3" s="1"/>
      <c r="O3" s="12" t="s">
        <v>50</v>
      </c>
      <c r="P3" s="13"/>
      <c r="Q3" s="15"/>
      <c r="R3" s="12" t="s">
        <v>51</v>
      </c>
      <c r="S3" s="13"/>
      <c r="T3" s="13"/>
      <c r="U3" s="13"/>
      <c r="V3" s="13"/>
      <c r="W3" s="13"/>
      <c r="X3" s="13"/>
      <c r="Y3" s="12" t="s">
        <v>52</v>
      </c>
      <c r="Z3" s="13"/>
      <c r="AA3" s="13"/>
      <c r="AB3" s="13"/>
    </row>
    <row r="4" spans="2:28" ht="30" x14ac:dyDescent="0.25">
      <c r="B4" s="2" t="s">
        <v>0</v>
      </c>
      <c r="C4" s="5" t="s">
        <v>1</v>
      </c>
      <c r="D4" s="5" t="s">
        <v>2</v>
      </c>
      <c r="E4" s="2" t="s">
        <v>3</v>
      </c>
      <c r="F4" s="2" t="s">
        <v>9</v>
      </c>
      <c r="G4" s="2" t="s">
        <v>4</v>
      </c>
      <c r="H4" s="2" t="s">
        <v>10</v>
      </c>
      <c r="I4" s="9" t="s">
        <v>5</v>
      </c>
      <c r="J4" s="2" t="s">
        <v>6</v>
      </c>
      <c r="K4" s="2" t="s">
        <v>11</v>
      </c>
      <c r="L4" s="2" t="s">
        <v>7</v>
      </c>
      <c r="M4" s="2" t="s">
        <v>8</v>
      </c>
      <c r="N4" s="5" t="s">
        <v>65</v>
      </c>
      <c r="O4" s="5" t="s">
        <v>53</v>
      </c>
      <c r="P4" s="5" t="s">
        <v>54</v>
      </c>
      <c r="Q4" s="5" t="s">
        <v>55</v>
      </c>
      <c r="R4" s="5" t="s">
        <v>56</v>
      </c>
      <c r="S4" s="5" t="s">
        <v>53</v>
      </c>
      <c r="T4" s="5" t="s">
        <v>54</v>
      </c>
      <c r="U4" s="5" t="s">
        <v>55</v>
      </c>
      <c r="V4" s="5" t="s">
        <v>57</v>
      </c>
      <c r="W4" s="5" t="s">
        <v>58</v>
      </c>
      <c r="X4" s="5" t="s">
        <v>59</v>
      </c>
      <c r="Y4" s="5" t="s">
        <v>60</v>
      </c>
      <c r="Z4" s="5" t="s">
        <v>61</v>
      </c>
      <c r="AA4" s="5" t="s">
        <v>62</v>
      </c>
      <c r="AB4" s="5" t="s">
        <v>63</v>
      </c>
    </row>
    <row r="5" spans="2:28" ht="120" x14ac:dyDescent="0.25">
      <c r="B5" t="s">
        <v>12</v>
      </c>
      <c r="C5" s="1" t="s">
        <v>13</v>
      </c>
      <c r="D5" s="1" t="s">
        <v>42</v>
      </c>
      <c r="E5" t="e" vm="1">
        <f>IFERROR(IF(F5="","No Sales Presenter Images",_xlfn.IMAGE(SUBSTITUTE(F5,"http://","https://"))),"")</f>
        <v>#VALUE!</v>
      </c>
      <c r="F5" t="s">
        <v>15</v>
      </c>
      <c r="G5" t="e" vm="2">
        <f>IFERROR(IF(H5="","No Sales Presenter Images",_xlfn.IMAGE(SUBSTITUTE(H5,"http://","https://"))),"")</f>
        <v>#VALUE!</v>
      </c>
      <c r="H5" t="s">
        <v>16</v>
      </c>
      <c r="I5" s="1" t="s">
        <v>43</v>
      </c>
      <c r="J5" s="11">
        <v>79.989999999999995</v>
      </c>
      <c r="K5" t="s">
        <v>17</v>
      </c>
      <c r="L5" t="s">
        <v>18</v>
      </c>
      <c r="M5" t="s">
        <v>19</v>
      </c>
      <c r="N5" s="1" t="s">
        <v>64</v>
      </c>
      <c r="O5">
        <v>48.8</v>
      </c>
      <c r="P5">
        <v>38</v>
      </c>
      <c r="Q5">
        <v>29.1</v>
      </c>
      <c r="R5">
        <v>1</v>
      </c>
      <c r="S5">
        <v>48.8</v>
      </c>
      <c r="T5">
        <v>38</v>
      </c>
      <c r="U5">
        <v>29.1</v>
      </c>
      <c r="V5">
        <v>5.3960000000000001E-2</v>
      </c>
      <c r="W5">
        <v>11.7</v>
      </c>
      <c r="X5">
        <v>10.7</v>
      </c>
      <c r="Y5">
        <v>1000</v>
      </c>
      <c r="Z5">
        <v>581</v>
      </c>
      <c r="AA5">
        <v>1240</v>
      </c>
      <c r="AB5">
        <v>1336</v>
      </c>
    </row>
    <row r="6" spans="2:28" ht="105" x14ac:dyDescent="0.25">
      <c r="B6" t="s">
        <v>20</v>
      </c>
      <c r="C6" s="1" t="s">
        <v>21</v>
      </c>
      <c r="D6" s="1" t="s">
        <v>44</v>
      </c>
      <c r="E6" t="e" vm="3">
        <f>IFERROR(IF(F6="","No Sales Presenter Images",_xlfn.IMAGE(SUBSTITUTE(F6,"http://","https://"))),"")</f>
        <v>#VALUE!</v>
      </c>
      <c r="F6" t="s">
        <v>22</v>
      </c>
      <c r="G6" t="e" vm="4">
        <f>IFERROR(IF(H6="","No Sales Presenter Images",_xlfn.IMAGE(SUBSTITUTE(H6,"http://","https://"))),"")</f>
        <v>#VALUE!</v>
      </c>
      <c r="H6" t="s">
        <v>23</v>
      </c>
      <c r="I6" s="1" t="s">
        <v>45</v>
      </c>
      <c r="J6" s="11">
        <v>69.989999999999995</v>
      </c>
      <c r="K6" t="s">
        <v>17</v>
      </c>
      <c r="L6" t="s">
        <v>24</v>
      </c>
      <c r="M6" t="s">
        <v>19</v>
      </c>
      <c r="N6" s="1" t="s">
        <v>66</v>
      </c>
      <c r="O6">
        <v>49.6</v>
      </c>
      <c r="P6">
        <v>39.6</v>
      </c>
      <c r="Q6">
        <v>29.7</v>
      </c>
      <c r="R6">
        <v>1</v>
      </c>
      <c r="S6">
        <v>49.6</v>
      </c>
      <c r="T6">
        <v>39.6</v>
      </c>
      <c r="U6">
        <v>29.7</v>
      </c>
      <c r="V6">
        <v>5.8340000000000003E-2</v>
      </c>
      <c r="W6">
        <v>12.75</v>
      </c>
      <c r="X6">
        <v>11.52</v>
      </c>
      <c r="Y6">
        <v>1000</v>
      </c>
      <c r="Z6">
        <v>512</v>
      </c>
      <c r="AA6">
        <v>1102</v>
      </c>
      <c r="AB6">
        <v>1240</v>
      </c>
    </row>
    <row r="7" spans="2:28" ht="105" x14ac:dyDescent="0.25">
      <c r="B7" t="s">
        <v>25</v>
      </c>
      <c r="C7" s="1" t="s">
        <v>26</v>
      </c>
      <c r="D7" s="1" t="s">
        <v>46</v>
      </c>
      <c r="E7" t="e" vm="5">
        <f>IFERROR(IF(F7="","No Sales Presenter Images",_xlfn.IMAGE(SUBSTITUTE(F7,"http://","https://"))),"")</f>
        <v>#VALUE!</v>
      </c>
      <c r="F7" t="s">
        <v>27</v>
      </c>
      <c r="G7" t="e" vm="6">
        <f>IFERROR(IF(H7="","No Sales Presenter Images",_xlfn.IMAGE(SUBSTITUTE(H7,"http://","https://"))),"")</f>
        <v>#VALUE!</v>
      </c>
      <c r="H7" t="s">
        <v>28</v>
      </c>
      <c r="I7" s="1" t="s">
        <v>47</v>
      </c>
      <c r="J7" s="11">
        <v>79.989999999999995</v>
      </c>
      <c r="K7" t="s">
        <v>17</v>
      </c>
      <c r="L7" t="s">
        <v>29</v>
      </c>
      <c r="M7" t="s">
        <v>19</v>
      </c>
      <c r="N7" s="1" t="s">
        <v>67</v>
      </c>
      <c r="O7">
        <v>52.3</v>
      </c>
      <c r="P7">
        <v>39.6</v>
      </c>
      <c r="Q7">
        <v>30.7</v>
      </c>
      <c r="R7">
        <v>1</v>
      </c>
      <c r="S7">
        <v>52.3</v>
      </c>
      <c r="T7">
        <v>39.6</v>
      </c>
      <c r="U7">
        <v>30.7</v>
      </c>
      <c r="V7">
        <v>6.3579999999999998E-2</v>
      </c>
      <c r="W7">
        <v>12.8</v>
      </c>
      <c r="X7">
        <v>10.8</v>
      </c>
      <c r="Y7">
        <v>1000</v>
      </c>
      <c r="Z7">
        <v>470</v>
      </c>
      <c r="AA7">
        <v>955</v>
      </c>
      <c r="AB7">
        <v>1090</v>
      </c>
    </row>
    <row r="8" spans="2:28" ht="165" x14ac:dyDescent="0.25">
      <c r="B8" t="s">
        <v>30</v>
      </c>
      <c r="C8" s="1" t="s">
        <v>31</v>
      </c>
      <c r="D8" s="1" t="s">
        <v>48</v>
      </c>
      <c r="E8"/>
      <c r="F8"/>
      <c r="G8"/>
      <c r="H8" t="s">
        <v>14</v>
      </c>
      <c r="I8" s="1"/>
      <c r="J8" t="s">
        <v>41</v>
      </c>
      <c r="K8" t="s">
        <v>32</v>
      </c>
      <c r="L8" t="s">
        <v>33</v>
      </c>
      <c r="M8" t="s">
        <v>34</v>
      </c>
      <c r="N8" s="1" t="s">
        <v>68</v>
      </c>
      <c r="O8">
        <v>22.5</v>
      </c>
      <c r="P8">
        <v>8</v>
      </c>
      <c r="Q8">
        <v>25</v>
      </c>
      <c r="R8">
        <v>6</v>
      </c>
      <c r="S8">
        <v>45</v>
      </c>
      <c r="T8">
        <v>23</v>
      </c>
      <c r="U8">
        <v>28</v>
      </c>
      <c r="V8">
        <v>2.8979999999999999E-2</v>
      </c>
      <c r="W8">
        <v>2.83</v>
      </c>
      <c r="X8">
        <v>2.2200000000000002</v>
      </c>
      <c r="Y8">
        <v>1000</v>
      </c>
      <c r="Z8">
        <v>5760</v>
      </c>
      <c r="AA8">
        <v>12000</v>
      </c>
      <c r="AB8">
        <v>14760</v>
      </c>
    </row>
    <row r="9" spans="2:28" ht="165" x14ac:dyDescent="0.25">
      <c r="B9" t="s">
        <v>35</v>
      </c>
      <c r="C9" s="1" t="s">
        <v>36</v>
      </c>
      <c r="D9" s="1" t="s">
        <v>48</v>
      </c>
      <c r="E9" t="e" vm="7">
        <f>IFERROR(IF(F9="","No Sales Presenter Images",_xlfn.IMAGE(SUBSTITUTE(F9,"http://","https://"))),"")</f>
        <v>#VALUE!</v>
      </c>
      <c r="F9" t="s">
        <v>37</v>
      </c>
      <c r="G9" t="e" vm="8">
        <f>IFERROR(IF(H9="","No Sales Presenter Images",_xlfn.IMAGE(SUBSTITUTE(H9,"http://","https://"))),"")</f>
        <v>#VALUE!</v>
      </c>
      <c r="H9" t="s">
        <v>38</v>
      </c>
      <c r="I9" s="1" t="s">
        <v>49</v>
      </c>
      <c r="J9" t="s">
        <v>41</v>
      </c>
      <c r="K9" t="s">
        <v>39</v>
      </c>
      <c r="L9" t="s">
        <v>40</v>
      </c>
      <c r="M9" t="s">
        <v>34</v>
      </c>
      <c r="N9" s="1" t="s">
        <v>68</v>
      </c>
      <c r="O9">
        <v>21.5</v>
      </c>
      <c r="P9">
        <v>5.5</v>
      </c>
      <c r="Q9">
        <v>31</v>
      </c>
      <c r="R9">
        <v>12</v>
      </c>
      <c r="S9">
        <v>47.5</v>
      </c>
      <c r="T9">
        <v>46.5</v>
      </c>
      <c r="U9">
        <v>28</v>
      </c>
      <c r="V9">
        <v>6.1850000000000002E-2</v>
      </c>
      <c r="W9">
        <v>5.78</v>
      </c>
      <c r="X9">
        <v>4.5199999999999996</v>
      </c>
      <c r="Y9">
        <v>1000</v>
      </c>
      <c r="Z9">
        <v>5628</v>
      </c>
      <c r="AA9">
        <v>11270</v>
      </c>
      <c r="AB9">
        <v>13392</v>
      </c>
    </row>
  </sheetData>
  <mergeCells count="4">
    <mergeCell ref="Y3:AB3"/>
    <mergeCell ref="B2:N2"/>
    <mergeCell ref="O3:Q3"/>
    <mergeCell ref="R3:X3"/>
  </mergeCells>
  <phoneticPr fontId="3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Gilmore</dc:creator>
  <cp:lastModifiedBy>Rebecca Leyland</cp:lastModifiedBy>
  <dcterms:created xsi:type="dcterms:W3CDTF">2025-04-01T13:22:54Z</dcterms:created>
  <dcterms:modified xsi:type="dcterms:W3CDTF">2025-10-31T12:50:13Z</dcterms:modified>
</cp:coreProperties>
</file>